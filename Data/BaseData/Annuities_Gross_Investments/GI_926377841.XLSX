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umaenergi.sharepoint.com/sites/romsdalsnett/Administrative prosjekter/NVE og RME/NVE - RME - Rapportering/2026 NVE - RME Rapportering/Pålegg om særskilt rapportering av investeringshistorikk for regionalnettsanlegg/"/>
    </mc:Choice>
  </mc:AlternateContent>
  <xr:revisionPtr revIDLastSave="108" documentId="8_{A8F44308-5745-43C3-B0DC-6CB58DBD0AFD}" xr6:coauthVersionLast="47" xr6:coauthVersionMax="47" xr10:uidLastSave="{30034DED-39E8-4D3C-8BB6-0FC0D783B149}"/>
  <bookViews>
    <workbookView xWindow="-120" yWindow="-120" windowWidth="38640" windowHeight="21240" tabRatio="770" activeTab="4" xr2:uid="{31575316-61C4-4919-9AA1-0C9C065A4CDC}"/>
  </bookViews>
  <sheets>
    <sheet name="2020" sheetId="28" r:id="rId1"/>
    <sheet name="2021" sheetId="35" r:id="rId2"/>
    <sheet name="2022" sheetId="30" r:id="rId3"/>
    <sheet name="2023" sheetId="36" r:id="rId4"/>
    <sheet name="2024" sheetId="37" r:id="rId5"/>
  </sheets>
  <externalReferences>
    <externalReference r:id="rId6"/>
  </externalReferences>
  <definedNames>
    <definedName name="aar" localSheetId="0">#REF!</definedName>
    <definedName name="aar" localSheetId="2">'[1]Månedspriser og input'!$S$9</definedName>
    <definedName name="aar">#REF!</definedName>
    <definedName name="Countries" localSheetId="0">#REF!</definedName>
    <definedName name="Countries" localSheetId="2">#REF!</definedName>
    <definedName name="Countries">#REF!</definedName>
    <definedName name="Countries1" localSheetId="0">#REF!</definedName>
    <definedName name="Countries1" localSheetId="2">#REF!</definedName>
    <definedName name="Countries1">#REF!</definedName>
    <definedName name="Currencies" localSheetId="0">#REF!</definedName>
    <definedName name="Currencies" localSheetId="2">#REF!</definedName>
    <definedName name="Currencies">#REF!</definedName>
    <definedName name="paaslag" localSheetId="0">#REF!</definedName>
    <definedName name="paaslag" localSheetId="2">'[1]Månedspriser og input'!$S$16</definedName>
    <definedName name="paaslag">#REF!</definedName>
    <definedName name="Regions1" localSheetId="0">#REF!</definedName>
    <definedName name="Regions1" localSheetId="2">#REF!</definedName>
    <definedName name="Regions1">#REF!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37" l="1"/>
  <c r="E29" i="37"/>
  <c r="E28" i="37"/>
  <c r="E27" i="37"/>
  <c r="E26" i="37"/>
  <c r="E25" i="37"/>
  <c r="E24" i="37"/>
  <c r="E23" i="37"/>
  <c r="E22" i="37"/>
  <c r="E21" i="37"/>
  <c r="E20" i="37"/>
  <c r="E19" i="37"/>
  <c r="E29" i="36"/>
  <c r="E28" i="36"/>
  <c r="E27" i="36"/>
  <c r="E26" i="36"/>
  <c r="E25" i="36"/>
  <c r="E24" i="36"/>
  <c r="E23" i="36"/>
  <c r="E22" i="36"/>
  <c r="E21" i="36"/>
  <c r="E20" i="36"/>
  <c r="E19" i="36"/>
  <c r="E28" i="30"/>
  <c r="E27" i="30"/>
  <c r="E26" i="30"/>
  <c r="E25" i="30"/>
  <c r="E24" i="30"/>
  <c r="E23" i="30"/>
  <c r="E22" i="30"/>
  <c r="E21" i="30"/>
  <c r="E20" i="30"/>
  <c r="E19" i="30"/>
  <c r="E27" i="35"/>
  <c r="E26" i="35"/>
  <c r="E25" i="35"/>
  <c r="E24" i="35"/>
  <c r="E23" i="35"/>
  <c r="E22" i="35"/>
  <c r="E21" i="35"/>
  <c r="E20" i="35"/>
  <c r="E19" i="35"/>
  <c r="E26" i="28"/>
  <c r="E25" i="28"/>
  <c r="E24" i="28"/>
  <c r="E23" i="28"/>
  <c r="E22" i="28"/>
  <c r="E21" i="28"/>
  <c r="E20" i="28"/>
  <c r="E19" i="28"/>
</calcChain>
</file>

<file path=xl/sharedStrings.xml><?xml version="1.0" encoding="utf-8"?>
<sst xmlns="http://schemas.openxmlformats.org/spreadsheetml/2006/main" count="40" uniqueCount="8">
  <si>
    <t>Linjer</t>
  </si>
  <si>
    <t>Jordkabler</t>
  </si>
  <si>
    <t>Sjøkabler</t>
  </si>
  <si>
    <t>Hovedtransformator</t>
  </si>
  <si>
    <t>Annet</t>
  </si>
  <si>
    <t>Målere</t>
  </si>
  <si>
    <t>Annet, kundespesifikke anlegg</t>
  </si>
  <si>
    <t>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</si>
</sst>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(* #,##0.00_);_(* \(#,##0.00\);_(* &quot;-&quot;??_);_(@_)"/>
  </numFmts>
  <fonts count="6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5" fillId="0" borderId="0" applyBorder="0"/>
    <xf numFmtId="166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 applyNumberFormat="0" applyBorder="0" applyAlignment="0"/>
    <xf numFmtId="0" fontId="1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wrapText="1"/>
    </xf>
    <xf numFmtId="164" fontId="0" fillId="0" borderId="1" xfId="1" applyNumberFormat="1" applyFont="1" applyFill="1" applyBorder="1"/>
  </cellXfs>
  <cellStyles count="13">
    <cellStyle name="Komma" xfId="1" builtinId="3"/>
    <cellStyle name="Komma 2" xfId="3" xr:uid="{CBE888DC-AA88-4FC4-9E9E-92CB70C0AAD5}"/>
    <cellStyle name="Komma 2 2" xfId="6" xr:uid="{4FB2864F-BC7F-4DCA-8C5A-B09C2F9F408E}"/>
    <cellStyle name="Komma 3" xfId="7" xr:uid="{26C02E6F-4B9C-419D-A409-E95121A2F205}"/>
    <cellStyle name="Normal" xfId="0" builtinId="0"/>
    <cellStyle name="Normal 2" xfId="2" xr:uid="{2A9D2AEE-2F18-464C-B70C-29A9EAA418AE}"/>
    <cellStyle name="Normal 3" xfId="4" xr:uid="{3025B3DD-128E-4627-AABE-0F3D2F7FB685}"/>
    <cellStyle name="Normal 4" xfId="5" xr:uid="{BC1DF65D-27EA-4831-A0DD-DDFDEC9EAC88}"/>
    <cellStyle name="Normal 5" xfId="9" xr:uid="{9F70C70D-A11C-466F-8C39-01CFF91B709E}"/>
    <cellStyle name="Normal 6" xfId="11" xr:uid="{308F1C20-B0D7-4FD5-82DB-F17D93160EF0}"/>
    <cellStyle name="Normal 7" xfId="10" xr:uid="{FAEE2FF0-63F6-4BBB-BC9F-87B4737A7604}"/>
    <cellStyle name="Prosent 2" xfId="8" xr:uid="{2756C2FD-3F55-4E67-839F-A319015CE69B}"/>
    <cellStyle name="Prosent 3" xfId="12" xr:uid="{4A108C2C-DA01-49D4-8CF5-ADC09A999A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nntektsrammer\Budsjett%202015\Bokf&#248;rt%20tillatt%20inntekt\Ir%20tap%202015%20desember%20med%20prisberegnin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 tap"/>
      <sheetName val="Månedspriser og input"/>
      <sheetName val="Beregning S-pris"/>
      <sheetName val="Prisberegninger"/>
      <sheetName val="Ukepriser fra Nord Pool Spot"/>
      <sheetName val="Månedspriser fra Nord Pool Spot"/>
      <sheetName val="Priser fra Nasdaq"/>
    </sheetNames>
    <sheetDataSet>
      <sheetData sheetId="0" refreshError="1"/>
      <sheetData sheetId="1" refreshError="1">
        <row r="9">
          <cell r="S9">
            <v>2015</v>
          </cell>
        </row>
        <row r="16">
          <cell r="S16">
            <v>11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A2E7-2C1B-4C8B-86FE-83720F655D60}">
  <sheetPr>
    <tabColor theme="9" tint="0.39997558519241921"/>
  </sheetPr>
  <dimension ref="A1:H26"/>
  <sheetViews>
    <sheetView zoomScale="115" zoomScaleNormal="115" zoomScaleSheetLayoutView="100" workbookViewId="0">
      <selection activeCell="E19" sqref="E19:E26"/>
    </sheetView>
  </sheetViews>
  <sheetFormatPr baseColWidth="10" defaultRowHeight="15.75" x14ac:dyDescent="0.25"/>
  <cols>
    <col min="2" max="2" width="13.75" bestFit="1" customWidth="1"/>
    <col min="4" max="4" width="13.75" bestFit="1" customWidth="1"/>
    <col min="5" max="5" width="18.75" customWidth="1"/>
  </cols>
  <sheetData>
    <row r="1" spans="1:8" ht="47.2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1996</v>
      </c>
      <c r="B2" s="2"/>
      <c r="C2" s="2"/>
      <c r="D2" s="2"/>
      <c r="E2" s="2"/>
      <c r="F2" s="2"/>
      <c r="G2" s="2"/>
      <c r="H2" s="2"/>
    </row>
    <row r="3" spans="1:8" x14ac:dyDescent="0.25">
      <c r="A3" s="1">
        <v>1997</v>
      </c>
      <c r="B3" s="2"/>
      <c r="C3" s="2"/>
      <c r="D3" s="2"/>
      <c r="E3" s="2"/>
      <c r="F3" s="2"/>
      <c r="G3" s="2"/>
      <c r="H3" s="2"/>
    </row>
    <row r="4" spans="1:8" x14ac:dyDescent="0.25">
      <c r="A4" s="1">
        <v>1998</v>
      </c>
      <c r="B4" s="2"/>
      <c r="C4" s="2"/>
      <c r="D4" s="2"/>
      <c r="E4" s="2"/>
      <c r="F4" s="2"/>
      <c r="G4" s="2"/>
      <c r="H4" s="2"/>
    </row>
    <row r="5" spans="1:8" x14ac:dyDescent="0.25">
      <c r="A5" s="1">
        <v>1999</v>
      </c>
      <c r="B5" s="2"/>
      <c r="C5" s="2"/>
      <c r="D5" s="2"/>
      <c r="E5" s="2"/>
      <c r="F5" s="2"/>
      <c r="G5" s="2"/>
      <c r="H5" s="2"/>
    </row>
    <row r="6" spans="1:8" x14ac:dyDescent="0.25">
      <c r="A6" s="1">
        <v>2000</v>
      </c>
      <c r="B6" s="2"/>
      <c r="C6" s="2"/>
      <c r="D6" s="2"/>
      <c r="E6" s="2"/>
      <c r="F6" s="2"/>
      <c r="G6" s="2"/>
      <c r="H6" s="2"/>
    </row>
    <row r="7" spans="1:8" x14ac:dyDescent="0.25">
      <c r="A7" s="1">
        <v>2001</v>
      </c>
      <c r="B7" s="2"/>
      <c r="C7" s="2"/>
      <c r="D7" s="2"/>
      <c r="E7" s="2"/>
      <c r="F7" s="2"/>
      <c r="G7" s="2"/>
      <c r="H7" s="2"/>
    </row>
    <row r="8" spans="1:8" x14ac:dyDescent="0.25">
      <c r="A8" s="1">
        <v>2002</v>
      </c>
      <c r="B8" s="2"/>
      <c r="C8" s="2"/>
      <c r="D8" s="2"/>
      <c r="E8" s="2"/>
      <c r="F8" s="2"/>
      <c r="G8" s="2"/>
      <c r="H8" s="2"/>
    </row>
    <row r="9" spans="1:8" x14ac:dyDescent="0.25">
      <c r="A9" s="1">
        <v>2003</v>
      </c>
      <c r="B9" s="2"/>
      <c r="C9" s="2"/>
      <c r="D9" s="2"/>
      <c r="E9" s="2"/>
      <c r="F9" s="2"/>
      <c r="G9" s="2"/>
      <c r="H9" s="2"/>
    </row>
    <row r="10" spans="1:8" x14ac:dyDescent="0.25">
      <c r="A10" s="1">
        <v>2004</v>
      </c>
      <c r="B10" s="2"/>
      <c r="C10" s="2"/>
      <c r="D10" s="2"/>
      <c r="E10" s="2"/>
      <c r="F10" s="2"/>
      <c r="G10" s="2"/>
      <c r="H10" s="2"/>
    </row>
    <row r="11" spans="1:8" x14ac:dyDescent="0.25">
      <c r="A11" s="1">
        <v>2005</v>
      </c>
      <c r="B11" s="2"/>
      <c r="C11" s="2"/>
      <c r="D11" s="2"/>
      <c r="E11" s="2"/>
      <c r="F11" s="2"/>
      <c r="G11" s="2"/>
      <c r="H11" s="2"/>
    </row>
    <row r="12" spans="1:8" x14ac:dyDescent="0.25">
      <c r="A12" s="1">
        <v>2006</v>
      </c>
      <c r="B12" s="2"/>
      <c r="C12" s="2"/>
      <c r="D12" s="2"/>
      <c r="E12" s="2"/>
      <c r="F12" s="2"/>
      <c r="G12" s="2"/>
      <c r="H12" s="2"/>
    </row>
    <row r="13" spans="1:8" x14ac:dyDescent="0.25">
      <c r="A13" s="1">
        <v>2007</v>
      </c>
      <c r="B13" s="2"/>
      <c r="C13" s="2"/>
      <c r="D13" s="2"/>
      <c r="E13" s="2"/>
      <c r="F13" s="2"/>
      <c r="G13" s="2"/>
      <c r="H13" s="2"/>
    </row>
    <row r="14" spans="1:8" x14ac:dyDescent="0.25">
      <c r="A14" s="1">
        <v>2008</v>
      </c>
      <c r="B14" s="2"/>
      <c r="C14" s="2"/>
      <c r="D14" s="2"/>
      <c r="E14" s="2"/>
      <c r="F14" s="2"/>
      <c r="G14" s="2"/>
      <c r="H14" s="2"/>
    </row>
    <row r="15" spans="1:8" x14ac:dyDescent="0.25">
      <c r="A15" s="1">
        <v>2009</v>
      </c>
      <c r="B15" s="2"/>
      <c r="C15" s="2"/>
      <c r="D15" s="2"/>
      <c r="E15" s="2"/>
      <c r="F15" s="2"/>
      <c r="G15" s="2"/>
      <c r="H15" s="2"/>
    </row>
    <row r="16" spans="1:8" x14ac:dyDescent="0.25">
      <c r="A16" s="1">
        <v>2010</v>
      </c>
      <c r="B16" s="2"/>
      <c r="C16" s="2"/>
      <c r="D16" s="2"/>
      <c r="E16" s="2"/>
      <c r="F16" s="2"/>
      <c r="G16" s="2"/>
      <c r="H16" s="2"/>
    </row>
    <row r="17" spans="1:8" x14ac:dyDescent="0.25">
      <c r="A17" s="1">
        <v>2011</v>
      </c>
      <c r="B17" s="2"/>
      <c r="C17" s="2"/>
      <c r="D17" s="2"/>
      <c r="E17" s="2"/>
      <c r="F17" s="2"/>
      <c r="G17" s="2"/>
      <c r="H17" s="2"/>
    </row>
    <row r="18" spans="1:8" x14ac:dyDescent="0.25">
      <c r="A18" s="1">
        <v>2012</v>
      </c>
      <c r="B18" s="2"/>
      <c r="C18" s="2"/>
      <c r="D18" s="2"/>
      <c r="E18" s="2"/>
      <c r="F18" s="2"/>
      <c r="G18" s="2"/>
      <c r="H18" s="2"/>
    </row>
    <row r="19" spans="1:8" x14ac:dyDescent="0.25">
      <c r="A19" s="1">
        <v>2013</v>
      </c>
      <c r="B19" s="2"/>
      <c r="C19" s="2"/>
      <c r="D19" s="2"/>
      <c r="E19" s="2">
        <f>6482+11122</f>
        <v>17604</v>
      </c>
      <c r="F19" s="2"/>
      <c r="G19" s="2"/>
      <c r="H19" s="2"/>
    </row>
    <row r="20" spans="1:8" x14ac:dyDescent="0.25">
      <c r="A20" s="1">
        <v>2014</v>
      </c>
      <c r="B20" s="2"/>
      <c r="C20" s="2"/>
      <c r="D20" s="2"/>
      <c r="E20" s="2">
        <f>80</f>
        <v>80</v>
      </c>
      <c r="F20" s="2"/>
      <c r="G20" s="2"/>
      <c r="H20" s="2"/>
    </row>
    <row r="21" spans="1:8" x14ac:dyDescent="0.25">
      <c r="A21" s="1">
        <v>2015</v>
      </c>
      <c r="B21" s="2"/>
      <c r="C21" s="2"/>
      <c r="D21" s="2"/>
      <c r="E21" s="2">
        <f>0</f>
        <v>0</v>
      </c>
      <c r="F21" s="2"/>
      <c r="G21" s="2"/>
      <c r="H21" s="2"/>
    </row>
    <row r="22" spans="1:8" x14ac:dyDescent="0.25">
      <c r="A22" s="1">
        <v>2016</v>
      </c>
      <c r="B22" s="2"/>
      <c r="C22" s="2"/>
      <c r="D22" s="2"/>
      <c r="E22" s="2">
        <f>0</f>
        <v>0</v>
      </c>
      <c r="F22" s="2"/>
      <c r="G22" s="2"/>
      <c r="H22" s="2"/>
    </row>
    <row r="23" spans="1:8" x14ac:dyDescent="0.25">
      <c r="A23" s="1">
        <v>2017</v>
      </c>
      <c r="B23" s="2"/>
      <c r="C23" s="2"/>
      <c r="D23" s="2"/>
      <c r="E23" s="2">
        <f>0</f>
        <v>0</v>
      </c>
      <c r="F23" s="2"/>
      <c r="G23" s="2"/>
      <c r="H23" s="2"/>
    </row>
    <row r="24" spans="1:8" x14ac:dyDescent="0.25">
      <c r="A24" s="1">
        <v>2018</v>
      </c>
      <c r="B24" s="2"/>
      <c r="C24" s="2"/>
      <c r="D24" s="2"/>
      <c r="E24" s="2">
        <f>0</f>
        <v>0</v>
      </c>
      <c r="F24" s="2"/>
      <c r="G24" s="2"/>
      <c r="H24" s="2"/>
    </row>
    <row r="25" spans="1:8" x14ac:dyDescent="0.25">
      <c r="A25" s="1">
        <v>2019</v>
      </c>
      <c r="B25" s="2"/>
      <c r="C25" s="4"/>
      <c r="D25" s="2"/>
      <c r="E25" s="2">
        <f>20047+1326</f>
        <v>21373</v>
      </c>
      <c r="F25" s="2"/>
      <c r="G25" s="2"/>
      <c r="H25" s="2"/>
    </row>
    <row r="26" spans="1:8" x14ac:dyDescent="0.25">
      <c r="A26" s="1">
        <v>2020</v>
      </c>
      <c r="B26" s="2"/>
      <c r="C26" s="2"/>
      <c r="D26" s="2"/>
      <c r="E26" s="2">
        <f>64</f>
        <v>64</v>
      </c>
      <c r="F26" s="2"/>
      <c r="G26" s="2"/>
      <c r="H26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B986-7BD5-4CAA-B9E9-C292089EC0BE}">
  <sheetPr>
    <tabColor theme="9" tint="0.39997558519241921"/>
  </sheetPr>
  <dimension ref="A1:H27"/>
  <sheetViews>
    <sheetView workbookViewId="0">
      <selection activeCell="E19" sqref="E19:E27"/>
    </sheetView>
  </sheetViews>
  <sheetFormatPr baseColWidth="10" defaultRowHeight="15.75" x14ac:dyDescent="0.25"/>
  <cols>
    <col min="2" max="2" width="13.75" bestFit="1" customWidth="1"/>
    <col min="4" max="4" width="13.75" bestFit="1" customWidth="1"/>
    <col min="5" max="5" width="18.75" customWidth="1"/>
  </cols>
  <sheetData>
    <row r="1" spans="1:8" ht="47.2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1996</v>
      </c>
      <c r="B2" s="2"/>
      <c r="C2" s="2"/>
      <c r="D2" s="2"/>
      <c r="E2" s="2"/>
      <c r="F2" s="2"/>
      <c r="G2" s="2"/>
      <c r="H2" s="2"/>
    </row>
    <row r="3" spans="1:8" x14ac:dyDescent="0.25">
      <c r="A3" s="1">
        <v>1997</v>
      </c>
      <c r="B3" s="2"/>
      <c r="C3" s="2"/>
      <c r="D3" s="2"/>
      <c r="E3" s="2"/>
      <c r="F3" s="2"/>
      <c r="G3" s="2"/>
      <c r="H3" s="2"/>
    </row>
    <row r="4" spans="1:8" x14ac:dyDescent="0.25">
      <c r="A4" s="1">
        <v>1998</v>
      </c>
      <c r="B4" s="2"/>
      <c r="C4" s="2"/>
      <c r="D4" s="2"/>
      <c r="E4" s="2"/>
      <c r="F4" s="2"/>
      <c r="G4" s="2"/>
      <c r="H4" s="2"/>
    </row>
    <row r="5" spans="1:8" x14ac:dyDescent="0.25">
      <c r="A5" s="1">
        <v>1999</v>
      </c>
      <c r="B5" s="2"/>
      <c r="C5" s="2"/>
      <c r="D5" s="2"/>
      <c r="E5" s="2"/>
      <c r="F5" s="2"/>
      <c r="G5" s="2"/>
      <c r="H5" s="2"/>
    </row>
    <row r="6" spans="1:8" x14ac:dyDescent="0.25">
      <c r="A6" s="1">
        <v>2000</v>
      </c>
      <c r="B6" s="2"/>
      <c r="C6" s="2"/>
      <c r="D6" s="2"/>
      <c r="E6" s="2"/>
      <c r="F6" s="2"/>
      <c r="G6" s="2"/>
      <c r="H6" s="2"/>
    </row>
    <row r="7" spans="1:8" x14ac:dyDescent="0.25">
      <c r="A7" s="1">
        <v>2001</v>
      </c>
      <c r="B7" s="2"/>
      <c r="C7" s="2"/>
      <c r="D7" s="2"/>
      <c r="E7" s="2"/>
      <c r="F7" s="2"/>
      <c r="G7" s="2"/>
      <c r="H7" s="2"/>
    </row>
    <row r="8" spans="1:8" x14ac:dyDescent="0.25">
      <c r="A8" s="1">
        <v>2002</v>
      </c>
      <c r="B8" s="2"/>
      <c r="C8" s="2"/>
      <c r="D8" s="2"/>
      <c r="E8" s="2"/>
      <c r="F8" s="2"/>
      <c r="G8" s="2"/>
      <c r="H8" s="2"/>
    </row>
    <row r="9" spans="1:8" x14ac:dyDescent="0.25">
      <c r="A9" s="1">
        <v>2003</v>
      </c>
      <c r="B9" s="2"/>
      <c r="C9" s="2"/>
      <c r="D9" s="2"/>
      <c r="E9" s="2"/>
      <c r="F9" s="2"/>
      <c r="G9" s="2"/>
      <c r="H9" s="2"/>
    </row>
    <row r="10" spans="1:8" x14ac:dyDescent="0.25">
      <c r="A10" s="1">
        <v>2004</v>
      </c>
      <c r="B10" s="2"/>
      <c r="C10" s="2"/>
      <c r="D10" s="2"/>
      <c r="E10" s="2"/>
      <c r="F10" s="2"/>
      <c r="G10" s="2"/>
      <c r="H10" s="2"/>
    </row>
    <row r="11" spans="1:8" x14ac:dyDescent="0.25">
      <c r="A11" s="1">
        <v>2005</v>
      </c>
      <c r="B11" s="2"/>
      <c r="C11" s="2"/>
      <c r="D11" s="2"/>
      <c r="E11" s="2"/>
      <c r="F11" s="2"/>
      <c r="G11" s="2"/>
      <c r="H11" s="2"/>
    </row>
    <row r="12" spans="1:8" x14ac:dyDescent="0.25">
      <c r="A12" s="1">
        <v>2006</v>
      </c>
      <c r="B12" s="2"/>
      <c r="C12" s="2"/>
      <c r="D12" s="2"/>
      <c r="E12" s="2"/>
      <c r="F12" s="2"/>
      <c r="G12" s="2"/>
      <c r="H12" s="2"/>
    </row>
    <row r="13" spans="1:8" x14ac:dyDescent="0.25">
      <c r="A13" s="1">
        <v>2007</v>
      </c>
      <c r="B13" s="2"/>
      <c r="C13" s="2"/>
      <c r="D13" s="2"/>
      <c r="E13" s="2"/>
      <c r="F13" s="2"/>
      <c r="G13" s="2"/>
      <c r="H13" s="2"/>
    </row>
    <row r="14" spans="1:8" x14ac:dyDescent="0.25">
      <c r="A14" s="1">
        <v>2008</v>
      </c>
      <c r="B14" s="2"/>
      <c r="C14" s="2"/>
      <c r="D14" s="2"/>
      <c r="E14" s="2"/>
      <c r="F14" s="2"/>
      <c r="G14" s="2"/>
      <c r="H14" s="2"/>
    </row>
    <row r="15" spans="1:8" x14ac:dyDescent="0.25">
      <c r="A15" s="1">
        <v>2009</v>
      </c>
      <c r="B15" s="2"/>
      <c r="C15" s="2"/>
      <c r="D15" s="2"/>
      <c r="E15" s="2"/>
      <c r="F15" s="2"/>
      <c r="G15" s="2"/>
      <c r="H15" s="2"/>
    </row>
    <row r="16" spans="1:8" x14ac:dyDescent="0.25">
      <c r="A16" s="1">
        <v>2010</v>
      </c>
      <c r="B16" s="2"/>
      <c r="C16" s="2"/>
      <c r="D16" s="2"/>
      <c r="E16" s="2"/>
      <c r="F16" s="2"/>
      <c r="G16" s="2"/>
      <c r="H16" s="2"/>
    </row>
    <row r="17" spans="1:8" x14ac:dyDescent="0.25">
      <c r="A17" s="1">
        <v>2011</v>
      </c>
      <c r="B17" s="2"/>
      <c r="C17" s="2"/>
      <c r="D17" s="2"/>
      <c r="E17" s="2"/>
      <c r="F17" s="2"/>
      <c r="G17" s="2"/>
      <c r="H17" s="2"/>
    </row>
    <row r="18" spans="1:8" x14ac:dyDescent="0.25">
      <c r="A18" s="1">
        <v>2012</v>
      </c>
      <c r="B18" s="2"/>
      <c r="C18" s="2"/>
      <c r="D18" s="2"/>
      <c r="E18" s="2"/>
      <c r="F18" s="2"/>
      <c r="G18" s="2"/>
      <c r="H18" s="2"/>
    </row>
    <row r="19" spans="1:8" x14ac:dyDescent="0.25">
      <c r="A19" s="1">
        <v>2013</v>
      </c>
      <c r="B19" s="2"/>
      <c r="C19" s="2"/>
      <c r="D19" s="2"/>
      <c r="E19" s="2">
        <f>6482+11122</f>
        <v>17604</v>
      </c>
      <c r="F19" s="2"/>
      <c r="G19" s="2"/>
      <c r="H19" s="2"/>
    </row>
    <row r="20" spans="1:8" x14ac:dyDescent="0.25">
      <c r="A20" s="1">
        <v>2014</v>
      </c>
      <c r="B20" s="2"/>
      <c r="C20" s="2"/>
      <c r="D20" s="2"/>
      <c r="E20" s="2">
        <f>80</f>
        <v>80</v>
      </c>
      <c r="F20" s="2"/>
      <c r="G20" s="2"/>
      <c r="H20" s="2"/>
    </row>
    <row r="21" spans="1:8" x14ac:dyDescent="0.25">
      <c r="A21" s="1">
        <v>2015</v>
      </c>
      <c r="B21" s="2"/>
      <c r="C21" s="2"/>
      <c r="D21" s="2"/>
      <c r="E21" s="2">
        <f>0</f>
        <v>0</v>
      </c>
      <c r="F21" s="2"/>
      <c r="G21" s="2"/>
      <c r="H21" s="2"/>
    </row>
    <row r="22" spans="1:8" x14ac:dyDescent="0.25">
      <c r="A22" s="1">
        <v>2016</v>
      </c>
      <c r="B22" s="2"/>
      <c r="C22" s="2"/>
      <c r="D22" s="2"/>
      <c r="E22" s="2">
        <f>0</f>
        <v>0</v>
      </c>
      <c r="F22" s="2"/>
      <c r="G22" s="2"/>
      <c r="H22" s="2"/>
    </row>
    <row r="23" spans="1:8" x14ac:dyDescent="0.25">
      <c r="A23" s="1">
        <v>2017</v>
      </c>
      <c r="B23" s="2"/>
      <c r="C23" s="2"/>
      <c r="D23" s="2"/>
      <c r="E23" s="2">
        <f>0</f>
        <v>0</v>
      </c>
      <c r="F23" s="2"/>
      <c r="G23" s="2"/>
      <c r="H23" s="2"/>
    </row>
    <row r="24" spans="1:8" x14ac:dyDescent="0.25">
      <c r="A24" s="1">
        <v>2018</v>
      </c>
      <c r="B24" s="2"/>
      <c r="C24" s="2"/>
      <c r="D24" s="2"/>
      <c r="E24" s="2">
        <f>0</f>
        <v>0</v>
      </c>
      <c r="F24" s="2"/>
      <c r="G24" s="2"/>
      <c r="H24" s="2"/>
    </row>
    <row r="25" spans="1:8" x14ac:dyDescent="0.25">
      <c r="A25" s="1">
        <v>2019</v>
      </c>
      <c r="B25" s="2"/>
      <c r="C25" s="4"/>
      <c r="D25" s="2"/>
      <c r="E25" s="2">
        <f>20047+1326</f>
        <v>21373</v>
      </c>
      <c r="F25" s="2"/>
      <c r="G25" s="2"/>
      <c r="H25" s="2"/>
    </row>
    <row r="26" spans="1:8" x14ac:dyDescent="0.25">
      <c r="A26" s="1">
        <v>2020</v>
      </c>
      <c r="B26" s="2"/>
      <c r="C26" s="2"/>
      <c r="D26" s="2"/>
      <c r="E26" s="2">
        <f>64</f>
        <v>64</v>
      </c>
      <c r="F26" s="2"/>
      <c r="G26" s="2"/>
      <c r="H26" s="2"/>
    </row>
    <row r="27" spans="1:8" x14ac:dyDescent="0.25">
      <c r="A27" s="1">
        <v>2021</v>
      </c>
      <c r="B27" s="2"/>
      <c r="C27" s="2"/>
      <c r="D27" s="2"/>
      <c r="E27" s="2">
        <f>388</f>
        <v>388</v>
      </c>
      <c r="F27" s="2"/>
      <c r="G27" s="2"/>
      <c r="H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5E1E-8198-47A5-92A3-05D1E13EA729}">
  <sheetPr>
    <tabColor theme="9" tint="0.39997558519241921"/>
  </sheetPr>
  <dimension ref="A1:H28"/>
  <sheetViews>
    <sheetView zoomScaleNormal="100" zoomScaleSheetLayoutView="100" workbookViewId="0">
      <selection activeCell="E19" sqref="E19:E28"/>
    </sheetView>
  </sheetViews>
  <sheetFormatPr baseColWidth="10" defaultRowHeight="15.75" x14ac:dyDescent="0.25"/>
  <cols>
    <col min="2" max="2" width="13.75" bestFit="1" customWidth="1"/>
    <col min="4" max="4" width="13.75" bestFit="1" customWidth="1"/>
    <col min="5" max="5" width="18.75" customWidth="1"/>
  </cols>
  <sheetData>
    <row r="1" spans="1:8" ht="47.2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1996</v>
      </c>
      <c r="B2" s="2"/>
      <c r="C2" s="2"/>
      <c r="D2" s="2"/>
      <c r="E2" s="2"/>
      <c r="F2" s="2"/>
      <c r="G2" s="2"/>
      <c r="H2" s="2"/>
    </row>
    <row r="3" spans="1:8" x14ac:dyDescent="0.25">
      <c r="A3" s="1">
        <v>1997</v>
      </c>
      <c r="B3" s="2"/>
      <c r="C3" s="2"/>
      <c r="D3" s="2"/>
      <c r="E3" s="2"/>
      <c r="F3" s="2"/>
      <c r="G3" s="2"/>
      <c r="H3" s="2"/>
    </row>
    <row r="4" spans="1:8" x14ac:dyDescent="0.25">
      <c r="A4" s="1">
        <v>1998</v>
      </c>
      <c r="B4" s="2"/>
      <c r="C4" s="2"/>
      <c r="D4" s="2"/>
      <c r="E4" s="2"/>
      <c r="F4" s="2"/>
      <c r="G4" s="2"/>
      <c r="H4" s="2"/>
    </row>
    <row r="5" spans="1:8" x14ac:dyDescent="0.25">
      <c r="A5" s="1">
        <v>1999</v>
      </c>
      <c r="B5" s="2"/>
      <c r="C5" s="2"/>
      <c r="D5" s="2"/>
      <c r="E5" s="2"/>
      <c r="F5" s="2"/>
      <c r="G5" s="2"/>
      <c r="H5" s="2"/>
    </row>
    <row r="6" spans="1:8" x14ac:dyDescent="0.25">
      <c r="A6" s="1">
        <v>2000</v>
      </c>
      <c r="B6" s="2"/>
      <c r="C6" s="2"/>
      <c r="D6" s="2"/>
      <c r="E6" s="2"/>
      <c r="F6" s="2"/>
      <c r="G6" s="2"/>
      <c r="H6" s="2"/>
    </row>
    <row r="7" spans="1:8" x14ac:dyDescent="0.25">
      <c r="A7" s="1">
        <v>2001</v>
      </c>
      <c r="B7" s="2"/>
      <c r="C7" s="2"/>
      <c r="D7" s="2"/>
      <c r="E7" s="2"/>
      <c r="F7" s="2"/>
      <c r="G7" s="2"/>
      <c r="H7" s="2"/>
    </row>
    <row r="8" spans="1:8" x14ac:dyDescent="0.25">
      <c r="A8" s="1">
        <v>2002</v>
      </c>
      <c r="B8" s="2"/>
      <c r="C8" s="2"/>
      <c r="D8" s="2"/>
      <c r="E8" s="2"/>
      <c r="F8" s="2"/>
      <c r="G8" s="2"/>
      <c r="H8" s="2"/>
    </row>
    <row r="9" spans="1:8" x14ac:dyDescent="0.25">
      <c r="A9" s="1">
        <v>2003</v>
      </c>
      <c r="B9" s="2"/>
      <c r="C9" s="2"/>
      <c r="D9" s="2"/>
      <c r="E9" s="2"/>
      <c r="F9" s="2"/>
      <c r="G9" s="2"/>
      <c r="H9" s="2"/>
    </row>
    <row r="10" spans="1:8" x14ac:dyDescent="0.25">
      <c r="A10" s="1">
        <v>2004</v>
      </c>
      <c r="B10" s="2"/>
      <c r="C10" s="2"/>
      <c r="D10" s="2"/>
      <c r="E10" s="2"/>
      <c r="F10" s="2"/>
      <c r="G10" s="2"/>
      <c r="H10" s="2"/>
    </row>
    <row r="11" spans="1:8" x14ac:dyDescent="0.25">
      <c r="A11" s="1">
        <v>2005</v>
      </c>
      <c r="B11" s="2"/>
      <c r="C11" s="2"/>
      <c r="D11" s="2"/>
      <c r="E11" s="2"/>
      <c r="F11" s="2"/>
      <c r="G11" s="2"/>
      <c r="H11" s="2"/>
    </row>
    <row r="12" spans="1:8" x14ac:dyDescent="0.25">
      <c r="A12" s="1">
        <v>2006</v>
      </c>
      <c r="B12" s="2"/>
      <c r="C12" s="2"/>
      <c r="D12" s="2"/>
      <c r="E12" s="2"/>
      <c r="F12" s="2"/>
      <c r="G12" s="2"/>
      <c r="H12" s="2"/>
    </row>
    <row r="13" spans="1:8" x14ac:dyDescent="0.25">
      <c r="A13" s="1">
        <v>2007</v>
      </c>
      <c r="B13" s="2"/>
      <c r="C13" s="2"/>
      <c r="D13" s="2"/>
      <c r="E13" s="2"/>
      <c r="F13" s="2"/>
      <c r="G13" s="2"/>
      <c r="H13" s="2"/>
    </row>
    <row r="14" spans="1:8" x14ac:dyDescent="0.25">
      <c r="A14" s="1">
        <v>2008</v>
      </c>
      <c r="B14" s="2"/>
      <c r="C14" s="2"/>
      <c r="D14" s="2"/>
      <c r="E14" s="2"/>
      <c r="F14" s="2"/>
      <c r="G14" s="2"/>
      <c r="H14" s="2"/>
    </row>
    <row r="15" spans="1:8" x14ac:dyDescent="0.25">
      <c r="A15" s="1">
        <v>2009</v>
      </c>
      <c r="B15" s="2"/>
      <c r="C15" s="2"/>
      <c r="D15" s="2"/>
      <c r="E15" s="2"/>
      <c r="F15" s="2"/>
      <c r="G15" s="2"/>
      <c r="H15" s="2"/>
    </row>
    <row r="16" spans="1:8" x14ac:dyDescent="0.25">
      <c r="A16" s="1">
        <v>2010</v>
      </c>
      <c r="B16" s="2"/>
      <c r="C16" s="2"/>
      <c r="D16" s="2"/>
      <c r="E16" s="2"/>
      <c r="F16" s="2"/>
      <c r="G16" s="2"/>
      <c r="H16" s="2"/>
    </row>
    <row r="17" spans="1:8" x14ac:dyDescent="0.25">
      <c r="A17" s="1">
        <v>2011</v>
      </c>
      <c r="B17" s="2"/>
      <c r="C17" s="2"/>
      <c r="D17" s="2"/>
      <c r="E17" s="2"/>
      <c r="F17" s="2"/>
      <c r="G17" s="2"/>
      <c r="H17" s="2"/>
    </row>
    <row r="18" spans="1:8" x14ac:dyDescent="0.25">
      <c r="A18" s="1">
        <v>2012</v>
      </c>
      <c r="B18" s="2"/>
      <c r="C18" s="2"/>
      <c r="D18" s="2"/>
      <c r="E18" s="2"/>
      <c r="F18" s="2"/>
      <c r="G18" s="2"/>
      <c r="H18" s="2"/>
    </row>
    <row r="19" spans="1:8" x14ac:dyDescent="0.25">
      <c r="A19" s="1">
        <v>2013</v>
      </c>
      <c r="B19" s="2"/>
      <c r="C19" s="2"/>
      <c r="D19" s="2"/>
      <c r="E19" s="2">
        <f>6482+11122</f>
        <v>17604</v>
      </c>
      <c r="F19" s="2"/>
      <c r="G19" s="2"/>
      <c r="H19" s="2"/>
    </row>
    <row r="20" spans="1:8" x14ac:dyDescent="0.25">
      <c r="A20" s="1">
        <v>2014</v>
      </c>
      <c r="B20" s="2"/>
      <c r="C20" s="2"/>
      <c r="D20" s="2"/>
      <c r="E20" s="2">
        <f>80</f>
        <v>80</v>
      </c>
      <c r="F20" s="2"/>
      <c r="G20" s="2"/>
      <c r="H20" s="2"/>
    </row>
    <row r="21" spans="1:8" x14ac:dyDescent="0.25">
      <c r="A21" s="1">
        <v>2015</v>
      </c>
      <c r="B21" s="2"/>
      <c r="C21" s="2"/>
      <c r="D21" s="2"/>
      <c r="E21" s="2">
        <f>0</f>
        <v>0</v>
      </c>
      <c r="F21" s="2"/>
      <c r="G21" s="2"/>
      <c r="H21" s="2"/>
    </row>
    <row r="22" spans="1:8" x14ac:dyDescent="0.25">
      <c r="A22" s="1">
        <v>2016</v>
      </c>
      <c r="B22" s="2"/>
      <c r="C22" s="2"/>
      <c r="D22" s="2"/>
      <c r="E22" s="2">
        <f>0</f>
        <v>0</v>
      </c>
      <c r="F22" s="2"/>
      <c r="G22" s="2"/>
      <c r="H22" s="2"/>
    </row>
    <row r="23" spans="1:8" x14ac:dyDescent="0.25">
      <c r="A23" s="1">
        <v>2017</v>
      </c>
      <c r="B23" s="2"/>
      <c r="C23" s="2"/>
      <c r="D23" s="2"/>
      <c r="E23" s="2">
        <f>0</f>
        <v>0</v>
      </c>
      <c r="F23" s="2"/>
      <c r="G23" s="2"/>
      <c r="H23" s="2"/>
    </row>
    <row r="24" spans="1:8" x14ac:dyDescent="0.25">
      <c r="A24" s="1">
        <v>2018</v>
      </c>
      <c r="B24" s="2"/>
      <c r="C24" s="2"/>
      <c r="D24" s="2"/>
      <c r="E24" s="2">
        <f>0</f>
        <v>0</v>
      </c>
      <c r="F24" s="2"/>
      <c r="G24" s="2"/>
      <c r="H24" s="2"/>
    </row>
    <row r="25" spans="1:8" x14ac:dyDescent="0.25">
      <c r="A25" s="1">
        <v>2019</v>
      </c>
      <c r="B25" s="2"/>
      <c r="C25" s="4"/>
      <c r="D25" s="2"/>
      <c r="E25" s="2">
        <f>20047+1326</f>
        <v>21373</v>
      </c>
      <c r="F25" s="2"/>
      <c r="G25" s="2"/>
      <c r="H25" s="2"/>
    </row>
    <row r="26" spans="1:8" x14ac:dyDescent="0.25">
      <c r="A26" s="1">
        <v>2020</v>
      </c>
      <c r="B26" s="2"/>
      <c r="C26" s="2"/>
      <c r="D26" s="2"/>
      <c r="E26" s="2">
        <f>64</f>
        <v>64</v>
      </c>
      <c r="F26" s="2"/>
      <c r="G26" s="2"/>
      <c r="H26" s="2"/>
    </row>
    <row r="27" spans="1:8" x14ac:dyDescent="0.25">
      <c r="A27" s="1">
        <v>2021</v>
      </c>
      <c r="B27" s="2"/>
      <c r="C27" s="2"/>
      <c r="D27" s="2"/>
      <c r="E27" s="2">
        <f>388</f>
        <v>388</v>
      </c>
      <c r="F27" s="2"/>
      <c r="G27" s="2"/>
      <c r="H27" s="2"/>
    </row>
    <row r="28" spans="1:8" x14ac:dyDescent="0.25">
      <c r="A28" s="1">
        <v>2022</v>
      </c>
      <c r="B28" s="2"/>
      <c r="C28" s="2"/>
      <c r="D28" s="2"/>
      <c r="E28" s="2">
        <f>2052+102</f>
        <v>2154</v>
      </c>
      <c r="F28" s="2"/>
      <c r="G28" s="2"/>
      <c r="H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FAD6-BE0C-4F39-8A79-69551E3098F0}">
  <sheetPr>
    <tabColor theme="9" tint="0.39997558519241921"/>
  </sheetPr>
  <dimension ref="A1:H29"/>
  <sheetViews>
    <sheetView workbookViewId="0">
      <selection activeCell="E19" sqref="E19:E29"/>
    </sheetView>
  </sheetViews>
  <sheetFormatPr baseColWidth="10" defaultRowHeight="15.75" x14ac:dyDescent="0.25"/>
  <cols>
    <col min="2" max="2" width="13.75" bestFit="1" customWidth="1"/>
    <col min="4" max="4" width="13.75" bestFit="1" customWidth="1"/>
    <col min="5" max="5" width="18.75" customWidth="1"/>
  </cols>
  <sheetData>
    <row r="1" spans="1:8" ht="47.2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1996</v>
      </c>
      <c r="B2" s="2"/>
      <c r="C2" s="2"/>
      <c r="D2" s="2"/>
      <c r="E2" s="2"/>
      <c r="F2" s="2"/>
      <c r="G2" s="2"/>
      <c r="H2" s="2"/>
    </row>
    <row r="3" spans="1:8" x14ac:dyDescent="0.25">
      <c r="A3" s="1">
        <v>1997</v>
      </c>
      <c r="B3" s="2"/>
      <c r="C3" s="2"/>
      <c r="D3" s="2"/>
      <c r="E3" s="2"/>
      <c r="F3" s="2"/>
      <c r="G3" s="2"/>
      <c r="H3" s="2"/>
    </row>
    <row r="4" spans="1:8" x14ac:dyDescent="0.25">
      <c r="A4" s="1">
        <v>1998</v>
      </c>
      <c r="B4" s="2"/>
      <c r="C4" s="2"/>
      <c r="D4" s="2"/>
      <c r="E4" s="2"/>
      <c r="F4" s="2"/>
      <c r="G4" s="2"/>
      <c r="H4" s="2"/>
    </row>
    <row r="5" spans="1:8" x14ac:dyDescent="0.25">
      <c r="A5" s="1">
        <v>1999</v>
      </c>
      <c r="B5" s="2"/>
      <c r="C5" s="2"/>
      <c r="D5" s="2"/>
      <c r="E5" s="2"/>
      <c r="F5" s="2"/>
      <c r="G5" s="2"/>
      <c r="H5" s="2"/>
    </row>
    <row r="6" spans="1:8" x14ac:dyDescent="0.25">
      <c r="A6" s="1">
        <v>2000</v>
      </c>
      <c r="B6" s="2"/>
      <c r="C6" s="2"/>
      <c r="D6" s="2"/>
      <c r="E6" s="2"/>
      <c r="F6" s="2"/>
      <c r="G6" s="2"/>
      <c r="H6" s="2"/>
    </row>
    <row r="7" spans="1:8" x14ac:dyDescent="0.25">
      <c r="A7" s="1">
        <v>2001</v>
      </c>
      <c r="B7" s="2"/>
      <c r="C7" s="2"/>
      <c r="D7" s="2"/>
      <c r="E7" s="2"/>
      <c r="F7" s="2"/>
      <c r="G7" s="2"/>
      <c r="H7" s="2"/>
    </row>
    <row r="8" spans="1:8" x14ac:dyDescent="0.25">
      <c r="A8" s="1">
        <v>2002</v>
      </c>
      <c r="B8" s="2"/>
      <c r="C8" s="2"/>
      <c r="D8" s="2"/>
      <c r="E8" s="2"/>
      <c r="F8" s="2"/>
      <c r="G8" s="2"/>
      <c r="H8" s="2"/>
    </row>
    <row r="9" spans="1:8" x14ac:dyDescent="0.25">
      <c r="A9" s="1">
        <v>2003</v>
      </c>
      <c r="B9" s="2"/>
      <c r="C9" s="2"/>
      <c r="D9" s="2"/>
      <c r="E9" s="2"/>
      <c r="F9" s="2"/>
      <c r="G9" s="2"/>
      <c r="H9" s="2"/>
    </row>
    <row r="10" spans="1:8" x14ac:dyDescent="0.25">
      <c r="A10" s="1">
        <v>2004</v>
      </c>
      <c r="B10" s="2"/>
      <c r="C10" s="2"/>
      <c r="D10" s="2"/>
      <c r="E10" s="2"/>
      <c r="F10" s="2"/>
      <c r="G10" s="2"/>
      <c r="H10" s="2"/>
    </row>
    <row r="11" spans="1:8" x14ac:dyDescent="0.25">
      <c r="A11" s="1">
        <v>2005</v>
      </c>
      <c r="B11" s="2"/>
      <c r="C11" s="2"/>
      <c r="D11" s="2"/>
      <c r="E11" s="2"/>
      <c r="F11" s="2"/>
      <c r="G11" s="2"/>
      <c r="H11" s="2"/>
    </row>
    <row r="12" spans="1:8" x14ac:dyDescent="0.25">
      <c r="A12" s="1">
        <v>2006</v>
      </c>
      <c r="B12" s="2"/>
      <c r="C12" s="2"/>
      <c r="D12" s="2"/>
      <c r="E12" s="2"/>
      <c r="F12" s="2"/>
      <c r="G12" s="2"/>
      <c r="H12" s="2"/>
    </row>
    <row r="13" spans="1:8" x14ac:dyDescent="0.25">
      <c r="A13" s="1">
        <v>2007</v>
      </c>
      <c r="B13" s="2"/>
      <c r="C13" s="2"/>
      <c r="D13" s="2"/>
      <c r="E13" s="2"/>
      <c r="F13" s="2"/>
      <c r="G13" s="2"/>
      <c r="H13" s="2"/>
    </row>
    <row r="14" spans="1:8" x14ac:dyDescent="0.25">
      <c r="A14" s="1">
        <v>2008</v>
      </c>
      <c r="B14" s="2"/>
      <c r="C14" s="2"/>
      <c r="D14" s="2"/>
      <c r="E14" s="2"/>
      <c r="F14" s="2"/>
      <c r="G14" s="2"/>
      <c r="H14" s="2"/>
    </row>
    <row r="15" spans="1:8" x14ac:dyDescent="0.25">
      <c r="A15" s="1">
        <v>2009</v>
      </c>
      <c r="B15" s="2"/>
      <c r="C15" s="2"/>
      <c r="D15" s="2"/>
      <c r="E15" s="2"/>
      <c r="F15" s="2"/>
      <c r="G15" s="2"/>
      <c r="H15" s="2"/>
    </row>
    <row r="16" spans="1:8" x14ac:dyDescent="0.25">
      <c r="A16" s="1">
        <v>2010</v>
      </c>
      <c r="B16" s="2"/>
      <c r="C16" s="2"/>
      <c r="D16" s="2"/>
      <c r="E16" s="2"/>
      <c r="F16" s="2"/>
      <c r="G16" s="2"/>
      <c r="H16" s="2"/>
    </row>
    <row r="17" spans="1:8" x14ac:dyDescent="0.25">
      <c r="A17" s="1">
        <v>2011</v>
      </c>
      <c r="B17" s="2"/>
      <c r="C17" s="2"/>
      <c r="D17" s="2"/>
      <c r="E17" s="2"/>
      <c r="F17" s="2"/>
      <c r="G17" s="2"/>
      <c r="H17" s="2"/>
    </row>
    <row r="18" spans="1:8" x14ac:dyDescent="0.25">
      <c r="A18" s="1">
        <v>2012</v>
      </c>
      <c r="B18" s="2"/>
      <c r="C18" s="2"/>
      <c r="D18" s="2"/>
      <c r="E18" s="2"/>
      <c r="F18" s="2"/>
      <c r="G18" s="2"/>
      <c r="H18" s="2"/>
    </row>
    <row r="19" spans="1:8" x14ac:dyDescent="0.25">
      <c r="A19" s="1">
        <v>2013</v>
      </c>
      <c r="B19" s="2"/>
      <c r="C19" s="2"/>
      <c r="D19" s="2"/>
      <c r="E19" s="2">
        <f>6482+11122</f>
        <v>17604</v>
      </c>
      <c r="F19" s="2"/>
      <c r="G19" s="2"/>
      <c r="H19" s="2"/>
    </row>
    <row r="20" spans="1:8" x14ac:dyDescent="0.25">
      <c r="A20" s="1">
        <v>2014</v>
      </c>
      <c r="B20" s="2"/>
      <c r="C20" s="2"/>
      <c r="D20" s="2"/>
      <c r="E20" s="2">
        <f>80</f>
        <v>80</v>
      </c>
      <c r="F20" s="2"/>
      <c r="G20" s="2"/>
      <c r="H20" s="2"/>
    </row>
    <row r="21" spans="1:8" x14ac:dyDescent="0.25">
      <c r="A21" s="1">
        <v>2015</v>
      </c>
      <c r="B21" s="2"/>
      <c r="C21" s="2"/>
      <c r="D21" s="2"/>
      <c r="E21" s="2">
        <f>0</f>
        <v>0</v>
      </c>
      <c r="F21" s="2"/>
      <c r="G21" s="2"/>
      <c r="H21" s="2"/>
    </row>
    <row r="22" spans="1:8" x14ac:dyDescent="0.25">
      <c r="A22" s="1">
        <v>2016</v>
      </c>
      <c r="B22" s="2"/>
      <c r="C22" s="2"/>
      <c r="D22" s="2"/>
      <c r="E22" s="2">
        <f>0</f>
        <v>0</v>
      </c>
      <c r="F22" s="2"/>
      <c r="G22" s="2"/>
      <c r="H22" s="2"/>
    </row>
    <row r="23" spans="1:8" x14ac:dyDescent="0.25">
      <c r="A23" s="1">
        <v>2017</v>
      </c>
      <c r="B23" s="2"/>
      <c r="C23" s="2"/>
      <c r="D23" s="2"/>
      <c r="E23" s="2">
        <f>0</f>
        <v>0</v>
      </c>
      <c r="F23" s="2"/>
      <c r="G23" s="2"/>
      <c r="H23" s="2"/>
    </row>
    <row r="24" spans="1:8" x14ac:dyDescent="0.25">
      <c r="A24" s="1">
        <v>2018</v>
      </c>
      <c r="B24" s="2"/>
      <c r="C24" s="2"/>
      <c r="D24" s="2"/>
      <c r="E24" s="2">
        <f>0</f>
        <v>0</v>
      </c>
      <c r="F24" s="2"/>
      <c r="G24" s="2"/>
      <c r="H24" s="2"/>
    </row>
    <row r="25" spans="1:8" x14ac:dyDescent="0.25">
      <c r="A25" s="1">
        <v>2019</v>
      </c>
      <c r="B25" s="2"/>
      <c r="C25" s="4"/>
      <c r="D25" s="2"/>
      <c r="E25" s="2">
        <f>20047+1326</f>
        <v>21373</v>
      </c>
      <c r="F25" s="2"/>
      <c r="G25" s="2"/>
      <c r="H25" s="2"/>
    </row>
    <row r="26" spans="1:8" x14ac:dyDescent="0.25">
      <c r="A26" s="1">
        <v>2020</v>
      </c>
      <c r="B26" s="2"/>
      <c r="C26" s="2"/>
      <c r="D26" s="2"/>
      <c r="E26" s="2">
        <f>64</f>
        <v>64</v>
      </c>
      <c r="F26" s="2"/>
      <c r="G26" s="2"/>
      <c r="H26" s="2"/>
    </row>
    <row r="27" spans="1:8" x14ac:dyDescent="0.25">
      <c r="A27" s="1">
        <v>2021</v>
      </c>
      <c r="B27" s="2"/>
      <c r="C27" s="2"/>
      <c r="D27" s="2"/>
      <c r="E27" s="2">
        <f>388</f>
        <v>388</v>
      </c>
      <c r="F27" s="2"/>
      <c r="G27" s="2"/>
      <c r="H27" s="2"/>
    </row>
    <row r="28" spans="1:8" x14ac:dyDescent="0.25">
      <c r="A28" s="1">
        <v>2022</v>
      </c>
      <c r="B28" s="2"/>
      <c r="C28" s="2"/>
      <c r="D28" s="2"/>
      <c r="E28" s="2">
        <f>2052+102</f>
        <v>2154</v>
      </c>
      <c r="F28" s="2"/>
      <c r="G28" s="2"/>
      <c r="H28" s="2"/>
    </row>
    <row r="29" spans="1:8" x14ac:dyDescent="0.25">
      <c r="A29" s="1">
        <v>2023</v>
      </c>
      <c r="B29" s="2"/>
      <c r="C29" s="2"/>
      <c r="D29" s="2"/>
      <c r="E29" s="2">
        <f>102</f>
        <v>102</v>
      </c>
      <c r="F29" s="2"/>
      <c r="G29" s="2"/>
      <c r="H2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9B7C-9AB4-4FDB-BA49-815277A22C3C}">
  <sheetPr>
    <tabColor theme="9" tint="0.39997558519241921"/>
  </sheetPr>
  <dimension ref="A1:H30"/>
  <sheetViews>
    <sheetView tabSelected="1" workbookViewId="0">
      <selection activeCell="H38" sqref="H38"/>
    </sheetView>
  </sheetViews>
  <sheetFormatPr baseColWidth="10" defaultRowHeight="15.75" x14ac:dyDescent="0.25"/>
  <cols>
    <col min="2" max="2" width="13.75" bestFit="1" customWidth="1"/>
    <col min="4" max="4" width="13.75" bestFit="1" customWidth="1"/>
    <col min="5" max="5" width="18.75" customWidth="1"/>
  </cols>
  <sheetData>
    <row r="1" spans="1:8" ht="47.25" x14ac:dyDescent="0.25">
      <c r="A1" s="1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25">
      <c r="A2" s="1">
        <v>1996</v>
      </c>
      <c r="B2" s="2"/>
      <c r="C2" s="2"/>
      <c r="D2" s="2"/>
      <c r="E2" s="2"/>
      <c r="F2" s="2"/>
      <c r="G2" s="2"/>
      <c r="H2" s="2"/>
    </row>
    <row r="3" spans="1:8" x14ac:dyDescent="0.25">
      <c r="A3" s="1">
        <v>1997</v>
      </c>
      <c r="B3" s="2"/>
      <c r="C3" s="2"/>
      <c r="D3" s="2"/>
      <c r="E3" s="2"/>
      <c r="F3" s="2"/>
      <c r="G3" s="2"/>
      <c r="H3" s="2"/>
    </row>
    <row r="4" spans="1:8" x14ac:dyDescent="0.25">
      <c r="A4" s="1">
        <v>1998</v>
      </c>
      <c r="B4" s="2"/>
      <c r="C4" s="2"/>
      <c r="D4" s="2"/>
      <c r="E4" s="2"/>
      <c r="F4" s="2"/>
      <c r="G4" s="2"/>
      <c r="H4" s="2"/>
    </row>
    <row r="5" spans="1:8" x14ac:dyDescent="0.25">
      <c r="A5" s="1">
        <v>1999</v>
      </c>
      <c r="B5" s="2"/>
      <c r="C5" s="2"/>
      <c r="D5" s="2"/>
      <c r="E5" s="2"/>
      <c r="F5" s="2"/>
      <c r="G5" s="2"/>
      <c r="H5" s="2"/>
    </row>
    <row r="6" spans="1:8" x14ac:dyDescent="0.25">
      <c r="A6" s="1">
        <v>2000</v>
      </c>
      <c r="B6" s="2"/>
      <c r="C6" s="2"/>
      <c r="D6" s="2"/>
      <c r="E6" s="2"/>
      <c r="F6" s="2"/>
      <c r="G6" s="2"/>
      <c r="H6" s="2"/>
    </row>
    <row r="7" spans="1:8" x14ac:dyDescent="0.25">
      <c r="A7" s="1">
        <v>2001</v>
      </c>
      <c r="B7" s="2"/>
      <c r="C7" s="2"/>
      <c r="D7" s="2"/>
      <c r="E7" s="2"/>
      <c r="F7" s="2"/>
      <c r="G7" s="2"/>
      <c r="H7" s="2"/>
    </row>
    <row r="8" spans="1:8" x14ac:dyDescent="0.25">
      <c r="A8" s="1">
        <v>2002</v>
      </c>
      <c r="B8" s="2"/>
      <c r="C8" s="2"/>
      <c r="D8" s="2"/>
      <c r="E8" s="2"/>
      <c r="F8" s="2"/>
      <c r="G8" s="2"/>
      <c r="H8" s="2"/>
    </row>
    <row r="9" spans="1:8" x14ac:dyDescent="0.25">
      <c r="A9" s="1">
        <v>2003</v>
      </c>
      <c r="B9" s="2"/>
      <c r="C9" s="2"/>
      <c r="D9" s="2"/>
      <c r="E9" s="2"/>
      <c r="F9" s="2"/>
      <c r="G9" s="2"/>
      <c r="H9" s="2"/>
    </row>
    <row r="10" spans="1:8" x14ac:dyDescent="0.25">
      <c r="A10" s="1">
        <v>2004</v>
      </c>
      <c r="B10" s="2"/>
      <c r="C10" s="2"/>
      <c r="D10" s="2"/>
      <c r="E10" s="2"/>
      <c r="F10" s="2"/>
      <c r="G10" s="2"/>
      <c r="H10" s="2"/>
    </row>
    <row r="11" spans="1:8" x14ac:dyDescent="0.25">
      <c r="A11" s="1">
        <v>2005</v>
      </c>
      <c r="B11" s="2"/>
      <c r="C11" s="2"/>
      <c r="D11" s="2"/>
      <c r="E11" s="2"/>
      <c r="F11" s="2"/>
      <c r="G11" s="2"/>
      <c r="H11" s="2"/>
    </row>
    <row r="12" spans="1:8" x14ac:dyDescent="0.25">
      <c r="A12" s="1">
        <v>2006</v>
      </c>
      <c r="B12" s="2"/>
      <c r="C12" s="2"/>
      <c r="D12" s="2"/>
      <c r="E12" s="2"/>
      <c r="F12" s="2"/>
      <c r="G12" s="2"/>
      <c r="H12" s="2"/>
    </row>
    <row r="13" spans="1:8" x14ac:dyDescent="0.25">
      <c r="A13" s="1">
        <v>2007</v>
      </c>
      <c r="B13" s="2"/>
      <c r="C13" s="2"/>
      <c r="D13" s="2"/>
      <c r="E13" s="2"/>
      <c r="F13" s="2"/>
      <c r="G13" s="2"/>
      <c r="H13" s="2"/>
    </row>
    <row r="14" spans="1:8" x14ac:dyDescent="0.25">
      <c r="A14" s="1">
        <v>2008</v>
      </c>
      <c r="B14" s="2"/>
      <c r="C14" s="2"/>
      <c r="D14" s="2"/>
      <c r="E14" s="2"/>
      <c r="F14" s="2"/>
      <c r="G14" s="2"/>
      <c r="H14" s="2"/>
    </row>
    <row r="15" spans="1:8" x14ac:dyDescent="0.25">
      <c r="A15" s="1">
        <v>2009</v>
      </c>
      <c r="B15" s="2"/>
      <c r="C15" s="2"/>
      <c r="D15" s="2"/>
      <c r="E15" s="2"/>
      <c r="F15" s="2"/>
      <c r="G15" s="2"/>
      <c r="H15" s="2"/>
    </row>
    <row r="16" spans="1:8" x14ac:dyDescent="0.25">
      <c r="A16" s="1">
        <v>2010</v>
      </c>
      <c r="B16" s="2"/>
      <c r="C16" s="2"/>
      <c r="D16" s="2"/>
      <c r="E16" s="2"/>
      <c r="F16" s="2"/>
      <c r="G16" s="2"/>
      <c r="H16" s="2"/>
    </row>
    <row r="17" spans="1:8" x14ac:dyDescent="0.25">
      <c r="A17" s="1">
        <v>2011</v>
      </c>
      <c r="B17" s="2"/>
      <c r="C17" s="2"/>
      <c r="D17" s="2"/>
      <c r="E17" s="2"/>
      <c r="F17" s="2"/>
      <c r="G17" s="2"/>
      <c r="H17" s="2"/>
    </row>
    <row r="18" spans="1:8" x14ac:dyDescent="0.25">
      <c r="A18" s="1">
        <v>2012</v>
      </c>
      <c r="B18" s="2"/>
      <c r="C18" s="2"/>
      <c r="D18" s="2"/>
      <c r="E18" s="2"/>
      <c r="F18" s="2"/>
      <c r="G18" s="2"/>
      <c r="H18" s="2"/>
    </row>
    <row r="19" spans="1:8" x14ac:dyDescent="0.25">
      <c r="A19" s="1">
        <v>2013</v>
      </c>
      <c r="B19" s="2"/>
      <c r="C19" s="2"/>
      <c r="D19" s="2"/>
      <c r="E19" s="2">
        <f>6482+11122</f>
        <v>17604</v>
      </c>
      <c r="F19" s="2"/>
      <c r="G19" s="2"/>
      <c r="H19" s="2"/>
    </row>
    <row r="20" spans="1:8" x14ac:dyDescent="0.25">
      <c r="A20" s="1">
        <v>2014</v>
      </c>
      <c r="B20" s="2"/>
      <c r="C20" s="2"/>
      <c r="D20" s="2"/>
      <c r="E20" s="2">
        <f>80</f>
        <v>80</v>
      </c>
      <c r="F20" s="2"/>
      <c r="G20" s="2"/>
      <c r="H20" s="2"/>
    </row>
    <row r="21" spans="1:8" x14ac:dyDescent="0.25">
      <c r="A21" s="1">
        <v>2015</v>
      </c>
      <c r="B21" s="2"/>
      <c r="C21" s="2"/>
      <c r="D21" s="2"/>
      <c r="E21" s="2">
        <f>0</f>
        <v>0</v>
      </c>
      <c r="F21" s="2"/>
      <c r="G21" s="2"/>
      <c r="H21" s="2"/>
    </row>
    <row r="22" spans="1:8" x14ac:dyDescent="0.25">
      <c r="A22" s="1">
        <v>2016</v>
      </c>
      <c r="B22" s="2"/>
      <c r="C22" s="2"/>
      <c r="D22" s="2"/>
      <c r="E22" s="2">
        <f>0</f>
        <v>0</v>
      </c>
      <c r="F22" s="2"/>
      <c r="G22" s="2"/>
      <c r="H22" s="2"/>
    </row>
    <row r="23" spans="1:8" x14ac:dyDescent="0.25">
      <c r="A23" s="1">
        <v>2017</v>
      </c>
      <c r="B23" s="2"/>
      <c r="C23" s="2"/>
      <c r="D23" s="2"/>
      <c r="E23" s="2">
        <f>0</f>
        <v>0</v>
      </c>
      <c r="F23" s="2"/>
      <c r="G23" s="2"/>
      <c r="H23" s="2"/>
    </row>
    <row r="24" spans="1:8" x14ac:dyDescent="0.25">
      <c r="A24" s="1">
        <v>2018</v>
      </c>
      <c r="B24" s="2"/>
      <c r="C24" s="2"/>
      <c r="D24" s="2"/>
      <c r="E24" s="2">
        <f>0</f>
        <v>0</v>
      </c>
      <c r="F24" s="2"/>
      <c r="G24" s="2"/>
      <c r="H24" s="2"/>
    </row>
    <row r="25" spans="1:8" x14ac:dyDescent="0.25">
      <c r="A25" s="1">
        <v>2019</v>
      </c>
      <c r="B25" s="2"/>
      <c r="C25" s="4"/>
      <c r="D25" s="2"/>
      <c r="E25" s="2">
        <f>20047+1326</f>
        <v>21373</v>
      </c>
      <c r="F25" s="2"/>
      <c r="G25" s="2"/>
      <c r="H25" s="2"/>
    </row>
    <row r="26" spans="1:8" x14ac:dyDescent="0.25">
      <c r="A26" s="1">
        <v>2020</v>
      </c>
      <c r="B26" s="2"/>
      <c r="C26" s="2"/>
      <c r="D26" s="2"/>
      <c r="E26" s="2">
        <f>64</f>
        <v>64</v>
      </c>
      <c r="F26" s="2"/>
      <c r="G26" s="2"/>
      <c r="H26" s="2"/>
    </row>
    <row r="27" spans="1:8" x14ac:dyDescent="0.25">
      <c r="A27" s="1">
        <v>2021</v>
      </c>
      <c r="B27" s="2"/>
      <c r="C27" s="2"/>
      <c r="D27" s="2"/>
      <c r="E27" s="2">
        <f>388</f>
        <v>388</v>
      </c>
      <c r="F27" s="2"/>
      <c r="G27" s="2"/>
      <c r="H27" s="2"/>
    </row>
    <row r="28" spans="1:8" x14ac:dyDescent="0.25">
      <c r="A28" s="1">
        <v>2022</v>
      </c>
      <c r="B28" s="2"/>
      <c r="C28" s="2"/>
      <c r="D28" s="2"/>
      <c r="E28" s="2">
        <f>2052+102</f>
        <v>2154</v>
      </c>
      <c r="F28" s="2"/>
      <c r="G28" s="2"/>
      <c r="H28" s="2"/>
    </row>
    <row r="29" spans="1:8" x14ac:dyDescent="0.25">
      <c r="A29" s="1">
        <v>2023</v>
      </c>
      <c r="B29" s="2"/>
      <c r="C29" s="2"/>
      <c r="D29" s="2"/>
      <c r="E29" s="2">
        <f>102</f>
        <v>102</v>
      </c>
      <c r="F29" s="2"/>
      <c r="G29" s="2"/>
      <c r="H29" s="2"/>
    </row>
    <row r="30" spans="1:8" x14ac:dyDescent="0.25">
      <c r="A30" s="1">
        <v>2024</v>
      </c>
      <c r="B30" s="2"/>
      <c r="C30" s="2"/>
      <c r="D30" s="2"/>
      <c r="E30" s="2">
        <f>1194</f>
        <v>1194</v>
      </c>
      <c r="F30" s="2"/>
      <c r="G30" s="2"/>
      <c r="H3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670d86-fc33-4f61-bf51-96e019343c8b" xsi:nil="true"/>
    <lcf76f155ced4ddcb4097134ff3c332f xmlns="7d54c3c2-5f2f-4ff7-ba68-1f0db52cd623">
      <Terms xmlns="http://schemas.microsoft.com/office/infopath/2007/PartnerControls"/>
    </lcf76f155ced4ddcb4097134ff3c332f>
    <g98ade60b1a5493f9b7127fdb0eec544 xmlns="08670d86-fc33-4f61-bf51-96e019343c8b">
      <Terms xmlns="http://schemas.microsoft.com/office/infopath/2007/PartnerControls"/>
    </g98ade60b1a5493f9b7127fdb0eec544>
    <n3e020d9d98c48dbb65f924b9bc22a2a xmlns="08670d86-fc33-4f61-bf51-96e019343c8b">
      <Terms xmlns="http://schemas.microsoft.com/office/infopath/2007/PartnerControls"/>
    </n3e020d9d98c48dbb65f924b9bc22a2a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182FF37CBF7324BA3ABD633A62A311D" ma:contentTypeVersion="14" ma:contentTypeDescription="Opprett et nytt dokument." ma:contentTypeScope="" ma:versionID="a8b4e49ce063bb4f137060df191b5394">
  <xsd:schema xmlns:xsd="http://www.w3.org/2001/XMLSchema" xmlns:xs="http://www.w3.org/2001/XMLSchema" xmlns:p="http://schemas.microsoft.com/office/2006/metadata/properties" xmlns:ns2="08670d86-fc33-4f61-bf51-96e019343c8b" xmlns:ns3="7d54c3c2-5f2f-4ff7-ba68-1f0db52cd623" targetNamespace="http://schemas.microsoft.com/office/2006/metadata/properties" ma:root="true" ma:fieldsID="9e777160364006ac3a0ea20ffad80966" ns2:_="" ns3:_="">
    <xsd:import namespace="08670d86-fc33-4f61-bf51-96e019343c8b"/>
    <xsd:import namespace="7d54c3c2-5f2f-4ff7-ba68-1f0db52cd623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ce7a0b3c-c26f-4fbc-a168-e5e94fc9fc1a}" ma:internalName="TaxCatchAll" ma:showField="CatchAllData" ma:web="2c0949f0-a4ad-4c2a-82c4-0ab2d3a508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ce7a0b3c-c26f-4fbc-a168-e5e94fc9fc1a}" ma:internalName="TaxCatchAllLabel" ma:readOnly="true" ma:showField="CatchAllDataLabel" ma:web="2c0949f0-a4ad-4c2a-82c4-0ab2d3a508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4c3c2-5f2f-4ff7-ba68-1f0db52cd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64152832-9f03-4628-8f8a-984f7e09cd82" ContentTypeId="0x0101" PreviousValue="false"/>
</file>

<file path=customXml/itemProps1.xml><?xml version="1.0" encoding="utf-8"?>
<ds:datastoreItem xmlns:ds="http://schemas.openxmlformats.org/officeDocument/2006/customXml" ds:itemID="{3CEAFEE6-F2F4-4E37-9DE3-BF4F977875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9240D8-E44E-410C-86D7-A9550236C67F}">
  <ds:schemaRefs>
    <ds:schemaRef ds:uri="7e87b17e-cda9-40ea-8843-9b5d1cb14334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2b2488f3-aa1f-4d7c-974b-2533620b8e2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2F5142F-C24A-428E-A5D0-45D95F71A39F}"/>
</file>

<file path=customXml/itemProps4.xml><?xml version="1.0" encoding="utf-8"?>
<ds:datastoreItem xmlns:ds="http://schemas.openxmlformats.org/officeDocument/2006/customXml" ds:itemID="{455DA8BE-05B6-40D3-8F0A-835C3CD94489}"/>
</file>

<file path=docMetadata/LabelInfo.xml><?xml version="1.0" encoding="utf-8"?>
<clbl:labelList xmlns:clbl="http://schemas.microsoft.com/office/2020/mipLabelMetadata">
  <clbl:label id="{bc8d840d-60c9-410b-b4fb-11b86806780c}" enabled="0" method="" siteId="{bc8d840d-60c9-410b-b4fb-11b86806780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Manager/>
  <Company>Statnett SF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Stig Olav Wiull</dc:creator>
  <cp:keywords/>
  <dc:description/>
  <cp:lastModifiedBy>Ine Therese Skjegstad</cp:lastModifiedBy>
  <cp:revision/>
  <dcterms:created xsi:type="dcterms:W3CDTF">2020-11-30T21:02:07Z</dcterms:created>
  <dcterms:modified xsi:type="dcterms:W3CDTF">2026-01-16T12:56:14Z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0x0101007182FF37CBF7324BA3ABD633A62A311D</vt:lpwstr>
  </property>
  <property fmtid="{D5CDD505-2E9C-101B-9397-08002B2CF9AE}" pid="3" name="NVE_Tema">
    <vt:lpwstr/>
  </property>
  <property fmtid="{D5CDD505-2E9C-101B-9397-08002B2CF9AE}" pid="4" name="MediaServiceImageTags">
    <vt:lpwstr/>
  </property>
  <property fmtid="{D5CDD505-2E9C-101B-9397-08002B2CF9AE}" pid="5" name="NVE_Dokumenttype">
    <vt:lpwstr/>
  </property>
</Properties>
</file>